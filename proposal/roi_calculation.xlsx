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  <sheet xmlns:r="http://schemas.openxmlformats.org/officeDocument/2006/relationships" name="Future State" sheetId="2" state="visible" r:id="rId2"/>
    <sheet xmlns:r="http://schemas.openxmlformats.org/officeDocument/2006/relationships" name="ROI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2"/>
    </font>
    <font>
      <name val="Calibri"/>
      <b val="1"/>
      <sz val="11"/>
    </font>
    <font>
      <b val="1"/>
      <color rgb="00FFFFFF"/>
      <sz val="12"/>
    </font>
    <font/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74C3C"/>
        <bgColor rgb="00E74C3C"/>
      </patternFill>
    </fill>
    <fill>
      <patternFill patternType="solid">
        <fgColor rgb="002ECC71"/>
        <bgColor rgb="002ECC7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4" fillId="3" borderId="0" pivotButton="0" quotePrefix="0" xfId="0"/>
    <xf numFmtId="3" fontId="3" fillId="4" borderId="0" pivotButton="0" quotePrefix="0" xfId="0"/>
    <xf numFmtId="0" fontId="3" fillId="4" borderId="0" pivotButton="0" quotePrefix="0" xfId="0"/>
    <xf numFmtId="0" fontId="5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CURRENT STATE — EXPENSE PROCESSING COSTS</t>
        </is>
      </c>
    </row>
    <row r="3">
      <c r="A3" s="2" t="inlineStr">
        <is>
          <t>Cost Element</t>
        </is>
      </c>
      <c r="B3" s="2" t="inlineStr">
        <is>
          <t>Volume/Month</t>
        </is>
      </c>
      <c r="C3" s="2" t="inlineStr">
        <is>
          <t>Time (min)</t>
        </is>
      </c>
      <c r="D3" s="2" t="inlineStr">
        <is>
          <t>Hourly Rate ($)</t>
        </is>
      </c>
      <c r="E3" s="2" t="inlineStr">
        <is>
          <t>Monthly Cost ($)</t>
        </is>
      </c>
      <c r="F3" s="2" t="inlineStr">
        <is>
          <t>Annual Cost ($)</t>
        </is>
      </c>
    </row>
    <row r="4">
      <c r="A4" s="3" t="inlineStr">
        <is>
          <t>Employee Data Entry</t>
        </is>
      </c>
      <c r="B4" s="3" t="n">
        <v>420</v>
      </c>
      <c r="C4" s="3" t="n">
        <v>33</v>
      </c>
      <c r="D4" s="3" t="n">
        <v>45</v>
      </c>
      <c r="E4" s="4">
        <f>B4*C4/60*D4</f>
        <v/>
      </c>
      <c r="F4" s="4">
        <f>E4*12</f>
        <v/>
      </c>
    </row>
    <row r="5">
      <c r="A5" s="3" t="inlineStr">
        <is>
          <t>Manager Review &amp; Approval</t>
        </is>
      </c>
      <c r="B5" s="3" t="n">
        <v>420</v>
      </c>
      <c r="C5" s="3" t="n">
        <v>37</v>
      </c>
      <c r="D5" s="3" t="n">
        <v>75</v>
      </c>
      <c r="E5" s="4">
        <f>B5*C5/60*D5</f>
        <v/>
      </c>
      <c r="F5" s="4">
        <f>E5*12</f>
        <v/>
      </c>
    </row>
    <row r="6">
      <c r="A6" s="3" t="inlineStr">
        <is>
          <t>Finance Processing</t>
        </is>
      </c>
      <c r="B6" s="3" t="n">
        <v>420</v>
      </c>
      <c r="C6" s="3" t="n">
        <v>40</v>
      </c>
      <c r="D6" s="3" t="n">
        <v>55</v>
      </c>
      <c r="E6" s="4">
        <f>B6*C6/60*D6</f>
        <v/>
      </c>
      <c r="F6" s="4">
        <f>E6*12</f>
        <v/>
      </c>
    </row>
    <row r="7">
      <c r="A7" s="3" t="inlineStr">
        <is>
          <t>Rework/Error Correction (18%)</t>
        </is>
      </c>
      <c r="B7" s="3">
        <f>B4*0.18</f>
        <v/>
      </c>
      <c r="C7" s="3" t="n">
        <v>30</v>
      </c>
      <c r="D7" s="3" t="n">
        <v>55</v>
      </c>
      <c r="E7" s="4">
        <f>B7*C7/60*D7</f>
        <v/>
      </c>
      <c r="F7" s="4">
        <f>E7*12</f>
        <v/>
      </c>
    </row>
    <row r="8">
      <c r="A8" s="3" t="inlineStr">
        <is>
          <t>Late Payment Penalties</t>
        </is>
      </c>
      <c r="B8" s="3" t="inlineStr"/>
      <c r="C8" s="3" t="inlineStr"/>
      <c r="D8" s="3" t="inlineStr"/>
      <c r="E8" s="4">
        <f>1058543*0.05/12</f>
        <v/>
      </c>
      <c r="F8" s="4">
        <f>E8*12</f>
        <v/>
      </c>
    </row>
    <row r="9">
      <c r="A9" s="5" t="inlineStr">
        <is>
          <t>TOTAL ANNUAL COST</t>
        </is>
      </c>
      <c r="F9" s="6">
        <f>SUM(F4:F8)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FUTURE STATE — AUTOMATED PROCESSING COSTS</t>
        </is>
      </c>
    </row>
    <row r="3">
      <c r="A3" s="2" t="inlineStr">
        <is>
          <t>Cost Element</t>
        </is>
      </c>
      <c r="B3" s="2" t="inlineStr">
        <is>
          <t>Volume/Month</t>
        </is>
      </c>
      <c r="C3" s="2" t="inlineStr">
        <is>
          <t>Time (min)</t>
        </is>
      </c>
      <c r="D3" s="2" t="inlineStr">
        <is>
          <t>Hourly Rate ($)</t>
        </is>
      </c>
      <c r="E3" s="2" t="inlineStr">
        <is>
          <t>Monthly Cost ($)</t>
        </is>
      </c>
      <c r="F3" s="2" t="inlineStr">
        <is>
          <t>Annual Cost ($)</t>
        </is>
      </c>
    </row>
    <row r="4">
      <c r="A4" s="3" t="inlineStr">
        <is>
          <t>OCR + Auto-Entry</t>
        </is>
      </c>
      <c r="B4" s="3" t="n">
        <v>420</v>
      </c>
      <c r="C4" s="3" t="n">
        <v>5</v>
      </c>
      <c r="D4" s="3" t="n">
        <v>45</v>
      </c>
      <c r="E4" s="4">
        <f>B4*C4/60*D4</f>
        <v/>
      </c>
      <c r="F4" s="4">
        <f>E4*12</f>
        <v/>
      </c>
    </row>
    <row r="5">
      <c r="A5" s="3" t="inlineStr">
        <is>
          <t>Auto-Route + Mobile Approve</t>
        </is>
      </c>
      <c r="B5" s="3" t="n">
        <v>420</v>
      </c>
      <c r="C5" s="3" t="n">
        <v>8</v>
      </c>
      <c r="D5" s="3" t="n">
        <v>75</v>
      </c>
      <c r="E5" s="4">
        <f>B5*C5/60*D5</f>
        <v/>
      </c>
      <c r="F5" s="4">
        <f>E5*12</f>
        <v/>
      </c>
    </row>
    <row r="6">
      <c r="A6" s="3" t="inlineStr">
        <is>
          <t>Auto-Validate + Process</t>
        </is>
      </c>
      <c r="B6" s="3" t="n">
        <v>420</v>
      </c>
      <c r="C6" s="3" t="n">
        <v>5</v>
      </c>
      <c r="D6" s="3" t="n">
        <v>55</v>
      </c>
      <c r="E6" s="4">
        <f>B6*C6/60*D6</f>
        <v/>
      </c>
      <c r="F6" s="4">
        <f>E6*12</f>
        <v/>
      </c>
    </row>
    <row r="7">
      <c r="A7" s="3" t="inlineStr">
        <is>
          <t>Rework (reduced to 5%)</t>
        </is>
      </c>
      <c r="B7" s="3">
        <f>B4*0.05</f>
        <v/>
      </c>
      <c r="C7" s="3" t="n">
        <v>15</v>
      </c>
      <c r="D7" s="3" t="n">
        <v>55</v>
      </c>
      <c r="E7" s="4">
        <f>B7*C7/60*D7</f>
        <v/>
      </c>
      <c r="F7" s="4">
        <f>E7*12</f>
        <v/>
      </c>
    </row>
    <row r="8">
      <c r="A8" s="3" t="inlineStr">
        <is>
          <t>Software Licensing (annual)</t>
        </is>
      </c>
      <c r="B8" s="3" t="inlineStr"/>
      <c r="C8" s="3" t="inlineStr"/>
      <c r="D8" s="3" t="inlineStr"/>
      <c r="E8" s="4">
        <f>2500</f>
        <v/>
      </c>
      <c r="F8" s="4">
        <f>E8*12</f>
        <v/>
      </c>
    </row>
    <row r="9">
      <c r="A9" s="5" t="inlineStr">
        <is>
          <t>TOTAL FUTURE COST</t>
        </is>
      </c>
      <c r="F9" s="7">
        <f>SUM(F4:F8)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ROI ANALYSIS — NORTH STAR WORKLOAD OPTIMIZER</t>
        </is>
      </c>
    </row>
    <row r="3">
      <c r="A3" s="5" t="inlineStr">
        <is>
          <t>Current Annual Cost</t>
        </is>
      </c>
      <c r="B3" s="4">
        <f>'Current State'!F9</f>
        <v/>
      </c>
      <c r="C3" s="4" t="inlineStr"/>
      <c r="D3" s="4" t="inlineStr"/>
    </row>
    <row r="4">
      <c r="A4" s="5" t="inlineStr">
        <is>
          <t>Future Annual Cost</t>
        </is>
      </c>
      <c r="B4" s="4">
        <f>'Future State'!F9</f>
        <v/>
      </c>
      <c r="C4" s="4" t="inlineStr"/>
      <c r="D4" s="4" t="inlineStr"/>
    </row>
    <row r="5">
      <c r="A5" s="8" t="inlineStr">
        <is>
          <t>Annual Savings</t>
        </is>
      </c>
      <c r="B5" s="4">
        <f>B3-B4</f>
        <v/>
      </c>
      <c r="C5" s="4" t="inlineStr"/>
      <c r="D5" s="4" t="inlineStr"/>
    </row>
    <row r="6">
      <c r="A6" s="9" t="inlineStr"/>
      <c r="B6" s="3" t="inlineStr"/>
      <c r="C6" s="3" t="inlineStr"/>
      <c r="D6" s="3" t="inlineStr"/>
    </row>
    <row r="7">
      <c r="A7" s="5" t="inlineStr">
        <is>
          <t>Implementation Cost (one-time)</t>
        </is>
      </c>
      <c r="B7" s="4" t="n">
        <v>45000</v>
      </c>
      <c r="C7" s="4" t="inlineStr"/>
      <c r="D7" s="4" t="inlineStr"/>
    </row>
    <row r="8">
      <c r="A8" s="5" t="inlineStr">
        <is>
          <t>Annual Software Cost</t>
        </is>
      </c>
      <c r="B8" s="4">
        <f>B4</f>
        <v/>
      </c>
      <c r="C8" s="4" t="inlineStr"/>
      <c r="D8" s="4" t="inlineStr"/>
    </row>
    <row r="9">
      <c r="A9" s="5" t="inlineStr">
        <is>
          <t>Total Year-1 Investment</t>
        </is>
      </c>
      <c r="B9" s="4">
        <f>B7+B8</f>
        <v/>
      </c>
      <c r="C9" s="4" t="inlineStr"/>
      <c r="D9" s="4" t="inlineStr"/>
    </row>
    <row r="10">
      <c r="A10" s="9" t="inlineStr"/>
      <c r="B10" s="3" t="inlineStr"/>
      <c r="C10" s="3" t="inlineStr"/>
      <c r="D10" s="3" t="inlineStr"/>
    </row>
    <row r="11">
      <c r="A11" s="5" t="inlineStr">
        <is>
          <t>ROI % (Year 1)</t>
        </is>
      </c>
      <c r="B11" s="10">
        <f>(B5-B9)/B9</f>
        <v/>
      </c>
      <c r="C11" s="10" t="inlineStr"/>
      <c r="D11" s="10" t="inlineStr"/>
    </row>
    <row r="12">
      <c r="A12" s="5" t="inlineStr">
        <is>
          <t>ROI % (Year 2+)</t>
        </is>
      </c>
      <c r="B12" s="10">
        <f>(B5-B8)/B8</f>
        <v/>
      </c>
      <c r="C12" s="10" t="inlineStr"/>
      <c r="D12" s="10" t="inlineStr"/>
    </row>
    <row r="13">
      <c r="A13" s="5" t="inlineStr">
        <is>
          <t>Payback Period (months)</t>
        </is>
      </c>
      <c r="B13" s="3">
        <f>B9/B5*12</f>
        <v/>
      </c>
      <c r="C13" s="3" t="inlineStr"/>
      <c r="D13" s="3" t="inlineStr"/>
    </row>
    <row r="14">
      <c r="A14" s="9" t="inlineStr"/>
      <c r="B14" s="3" t="inlineStr"/>
      <c r="C14" s="3" t="inlineStr"/>
      <c r="D14" s="3" t="inlineStr"/>
    </row>
    <row r="15">
      <c r="A15" s="2" t="inlineStr"/>
      <c r="B15" s="2" t="inlineStr">
        <is>
          <t>Conservative</t>
        </is>
      </c>
      <c r="C15" s="2" t="inlineStr">
        <is>
          <t>Baseline</t>
        </is>
      </c>
      <c r="D15" s="2" t="inlineStr">
        <is>
          <t>Optimistic</t>
        </is>
      </c>
    </row>
    <row r="16">
      <c r="A16" s="5" t="inlineStr">
        <is>
          <t>Efficiency Gain</t>
        </is>
      </c>
      <c r="B16" s="10" t="n">
        <v>0.6</v>
      </c>
      <c r="C16" s="10" t="n">
        <v>0.78</v>
      </c>
      <c r="D16" s="10" t="n">
        <v>0.85</v>
      </c>
    </row>
    <row r="17">
      <c r="A17" s="5" t="inlineStr">
        <is>
          <t>Annual Savings</t>
        </is>
      </c>
      <c r="B17" s="4">
        <f>B3*B16</f>
        <v/>
      </c>
      <c r="C17" s="4">
        <f>B3*C16</f>
        <v/>
      </c>
      <c r="D17" s="4">
        <f>B3*D16</f>
        <v/>
      </c>
    </row>
    <row r="18">
      <c r="A18" s="5" t="inlineStr">
        <is>
          <t>ROI %</t>
        </is>
      </c>
      <c r="B18" s="10">
        <f>(B17-B9)/B9</f>
        <v/>
      </c>
      <c r="C18" s="10">
        <f>(C17-B9)/B9</f>
        <v/>
      </c>
      <c r="D18" s="10">
        <f>(D17-B9)/B9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2026-04-26T18:10:05Z</dcterms:created>
  <dcterms:modified xmlns:dcterms="http://purl.org/dc/terms/" xmlns:xsi="http://www.w3.org/2001/XMLSchema-instance" xsi:type="dcterms:W3CDTF">2026-04-26T18:10:05Z</dcterms:modified>
</cp:coreProperties>
</file>